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a4f11907b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6fb1e0d26d4d42"/>
    <x:sheet xmlns:r="http://schemas.openxmlformats.org/officeDocument/2006/relationships" name="Onboarding Cases" sheetId="2" r:id="R0f1078a35f7c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6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807f3f2a147ed" /><Relationship Type="http://schemas.openxmlformats.org/officeDocument/2006/relationships/theme" Target="/xl/theme/theme1.xml" Id="Rae7844a4e1744279" /><Relationship Type="http://schemas.openxmlformats.org/officeDocument/2006/relationships/sharedStrings" Target="/xl/sharedStrings.xml" Id="Rebee7f1c3fc4458c" /><Relationship Type="http://schemas.openxmlformats.org/officeDocument/2006/relationships/worksheet" Target="/xl/worksheets/sheet1.xml" Id="R876fb1e0d26d4d42" /><Relationship Type="http://schemas.openxmlformats.org/officeDocument/2006/relationships/worksheet" Target="/xl/worksheets/sheet2.xml" Id="R0f1078a35f7c479b" /></Relationships>
</file>

<file path=xl/tables/table1.xml><?xml version="1.0" encoding="utf-8"?>
<x:table xmlns:x="http://schemas.openxmlformats.org/spreadsheetml/2006/main" id="1" name="OnboardingCases" displayName="OnboardingCases" ref="A1:K6" headerRowCount="1" totalsRowCount="0" totalsRowShown="0">
  <x:tableColumns count="11">
    <x:tableColumn id="1" name="Case ID"/>
    <x:tableColumn id="2" name="Case Title"/>
    <x:tableColumn id="3" name="Customer"/>
    <x:tableColumn id="4" name="Contact Email"/>
    <x:tableColumn id="5" name="Request Type"/>
    <x:tableColumn id="6" name="Priority"/>
    <x:tableColumn id="7" name="Status"/>
    <x:tableColumn id="8" name="Service Owner"/>
    <x:tableColumn id="9" name="Created Date"/>
    <x:tableColumn id="10" name="Target Date"/>
    <x:tableColumn id="11" name="Resol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306bbb7ea04a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5" hidden="0" customWidth="1"/>
    <x:col min="4" max="4" width="20" hidden="0" customWidth="1"/>
    <x:col min="5" max="5" width="14" hidden="0" customWidth="1"/>
  </x:cols>
  <x:sheetData>
    <x:row r="2" ht="30" customHeight="1">
      <x:c r="A2" s="9" t="str">
        <x:v>Client Onboarding Service Dashboard</x:v>
      </x:c>
    </x:row>
    <x:row r="4">
      <x:c r="A4" s="23" t="str">
        <x:v>Total cases</x:v>
      </x:c>
      <x:c r="B4" s="24"/>
      <x:c r="C4" s="25"/>
      <x:c r="D4" s="23" t="str">
        <x:v>Active cases</x:v>
      </x:c>
      <x:c r="E4" s="24"/>
      <x:c r="F4" s="25"/>
      <x:c r="G4" s="23" t="str">
        <x:v>High-priority cases</x:v>
      </x:c>
      <x:c r="H4" s="24"/>
    </x:row>
    <x:row r="5">
      <x:c r="A5" s="26" t="n">
        <x:f>COUNTA('Onboarding Cases'!A2:A6)</x:f>
        <x:v>5</x:v>
      </x:c>
      <x:c r="B5" s="27"/>
      <x:c r="C5" s="28"/>
      <x:c r="D5" s="26" t="n">
        <x:f>COUNTIF('Onboarding Cases'!G2:G6,"In Progress")</x:f>
        <x:v>2</x:v>
      </x:c>
      <x:c r="E5" s="27"/>
      <x:c r="F5" s="28"/>
      <x:c r="G5" s="26" t="n">
        <x:f>COUNTIF('Onboarding Cases'!F2:F6,"High")</x:f>
        <x:v>2</x:v>
      </x:c>
      <x:c r="H5" s="27"/>
    </x:row>
    <x:row r="8">
      <x:c r="A8" s="29" t="str">
        <x:v>Case status</x:v>
      </x:c>
      <x:c r="B8" s="29" t="str">
        <x:v>Cases</x:v>
      </x:c>
      <x:c r="C8" t="str"/>
      <x:c r="D8" s="29" t="str">
        <x:v>Priority</x:v>
      </x:c>
      <x:c r="E8" s="29" t="str">
        <x:v>Cases</x:v>
      </x:c>
    </x:row>
    <x:row r="9">
      <x:c r="A9" s="30" t="str">
        <x:v>New</x:v>
      </x:c>
      <x:c r="B9" s="30" t="n">
        <x:f>COUNTIF('Onboarding Cases'!G2:G6,A9)</x:f>
        <x:v>2</x:v>
      </x:c>
      <x:c r="D9" s="30" t="str">
        <x:v>High</x:v>
      </x:c>
      <x:c r="E9" s="30" t="n">
        <x:f>COUNTIF('Onboarding Cases'!F2:F6,D9)</x:f>
        <x:v>2</x:v>
      </x:c>
    </x:row>
    <x:row r="10">
      <x:c r="A10" s="30" t="str">
        <x:v>In Progress</x:v>
      </x:c>
      <x:c r="B10" s="30" t="n">
        <x:f>COUNTIF('Onboarding Cases'!G2:G6,A10)</x:f>
        <x:v>2</x:v>
      </x:c>
      <x:c r="D10" s="30" t="str">
        <x:v>Normal</x:v>
      </x:c>
      <x:c r="E10" s="30" t="n">
        <x:f>COUNTIF('Onboarding Cases'!F2:F6,D10)</x:f>
        <x:v>3</x:v>
      </x:c>
    </x:row>
    <x:row r="11">
      <x:c r="A11" s="30" t="str">
        <x:v>Resolved</x:v>
      </x:c>
      <x:c r="B11" s="30" t="n">
        <x:f>COUNTIF('Onboarding Cases'!G2:G6,A11)</x:f>
        <x:v>1</x:v>
      </x:c>
    </x:row>
  </x:sheetData>
  <x:mergeCells>
    <x:mergeCell ref="A2:H2"/>
    <x:mergeCell ref="A4:B4"/>
    <x:mergeCell ref="D4:E4"/>
    <x:mergeCell ref="G4:H4"/>
    <x:mergeCell ref="A5:B5"/>
    <x:mergeCell ref="D5:E5"/>
    <x:mergeCell ref="G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8" hidden="0" customWidth="1"/>
    <x:col min="5" max="5" width="18" hidden="0" customWidth="1"/>
    <x:col min="6" max="6" width="12" hidden="0" customWidth="1"/>
    <x:col min="7" max="7" width="14" hidden="0" customWidth="1"/>
    <x:col min="8" max="8" width="18" hidden="0" customWidth="1"/>
    <x:col min="9" max="9" width="14" hidden="0" customWidth="1"/>
    <x:col min="10" max="10" width="14" hidden="0" customWidth="1"/>
    <x:col min="11" max="11" width="42" hidden="0" customWidth="1"/>
  </x:cols>
  <x:sheetData>
    <x:row r="1">
      <x:c r="A1" s="5" t="str">
        <x:v>Case ID</x:v>
      </x:c>
      <x:c r="B1" s="5" t="str">
        <x:v>Case Title</x:v>
      </x:c>
      <x:c r="C1" s="5" t="str">
        <x:v>Customer</x:v>
      </x:c>
      <x:c r="D1" s="5" t="str">
        <x:v>Contact Email</x:v>
      </x:c>
      <x:c r="E1" s="5" t="str">
        <x:v>Request Type</x:v>
      </x:c>
      <x:c r="F1" s="5" t="str">
        <x:v>Priority</x:v>
      </x:c>
      <x:c r="G1" s="5" t="str">
        <x:v>Status</x:v>
      </x:c>
      <x:c r="H1" s="5" t="str">
        <x:v>Service Owner</x:v>
      </x:c>
      <x:c r="I1" s="5" t="str">
        <x:v>Created Date</x:v>
      </x:c>
      <x:c r="J1" s="5" t="str">
        <x:v>Target Date</x:v>
      </x:c>
      <x:c r="K1" s="5" t="str">
        <x:v>Resolution</x:v>
      </x:c>
    </x:row>
    <x:row r="2">
      <x:c r="A2" s="6" t="str">
        <x:v>ONB-001</x:v>
      </x:c>
      <x:c r="B2" s="6" t="str">
        <x:v>New Client Onboarding Request</x:v>
      </x:c>
      <x:c r="C2" s="6" t="str">
        <x:v>Fourth Coffee</x:v>
      </x:c>
      <x:c r="D2" s="6" t="str">
        <x:v>claudia@example.com</x:v>
      </x:c>
      <x:c r="E2" s="6" t="str">
        <x:v>Account setup</x:v>
      </x:c>
      <x:c r="F2" s="6" t="str">
        <x:v>Normal</x:v>
      </x:c>
      <x:c r="G2" s="6" t="str">
        <x:v>Resolved</x:v>
      </x:c>
      <x:c r="H2" s="6" t="str">
        <x:v>Hadia Qaiser</x:v>
      </x:c>
      <x:c r="I2" s="6" t="str">
        <x:v>2026-10-05</x:v>
      </x:c>
      <x:c r="J2" s="6" t="str">
        <x:v>2026-10-06</x:v>
      </x:c>
      <x:c r="K2" s="6" t="str">
        <x:v>Client details validated and onboarding request completed</x:v>
      </x:c>
    </x:row>
    <x:row r="3">
      <x:c r="A3" s="6" t="str">
        <x:v>ONB-002</x:v>
      </x:c>
      <x:c r="B3" s="6" t="str">
        <x:v>Client Onboarding Access Follow-up</x:v>
      </x:c>
      <x:c r="C3" s="6" t="str">
        <x:v>Fourth Coffee</x:v>
      </x:c>
      <x:c r="D3" s="6" t="str">
        <x:v>claudia@example.com</x:v>
      </x:c>
      <x:c r="E3" s="6" t="str">
        <x:v>Access request</x:v>
      </x:c>
      <x:c r="F3" s="6" t="str">
        <x:v>High</x:v>
      </x:c>
      <x:c r="G3" s="6" t="str">
        <x:v>In Progress</x:v>
      </x:c>
      <x:c r="H3" s="6" t="str">
        <x:v>Hadia Qaiser</x:v>
      </x:c>
      <x:c r="I3" s="6" t="str">
        <x:v>2026-10-05</x:v>
      </x:c>
      <x:c r="J3" s="6" t="str">
        <x:v>2026-10-06</x:v>
      </x:c>
      <x:c r="K3" s="6" t="str"/>
    </x:row>
    <x:row r="4">
      <x:c r="A4" s="6" t="str">
        <x:v>ONB-003</x:v>
      </x:c>
      <x:c r="B4" s="6" t="str">
        <x:v>New Client Onboarding Request</x:v>
      </x:c>
      <x:c r="C4" s="6" t="str">
        <x:v>GreenGrid Energy</x:v>
      </x:c>
      <x:c r="D4" s="6" t="str">
        <x:v>aisha@example.com</x:v>
      </x:c>
      <x:c r="E4" s="6" t="str">
        <x:v>Account setup</x:v>
      </x:c>
      <x:c r="F4" s="6" t="str">
        <x:v>Normal</x:v>
      </x:c>
      <x:c r="G4" s="6" t="str">
        <x:v>New</x:v>
      </x:c>
      <x:c r="H4" s="6" t="str">
        <x:v>Service Team</x:v>
      </x:c>
      <x:c r="I4" s="6" t="str">
        <x:v>2026-10-06</x:v>
      </x:c>
      <x:c r="J4" s="6" t="str">
        <x:v>2026-10-07</x:v>
      </x:c>
      <x:c r="K4" s="6" t="str"/>
    </x:row>
    <x:row r="5">
      <x:c r="A5" s="6" t="str">
        <x:v>ONB-004</x:v>
      </x:c>
      <x:c r="B5" s="6" t="str">
        <x:v>Client Onboarding Data Query</x:v>
      </x:c>
      <x:c r="C5" s="6" t="str">
        <x:v>Harbour Retail</x:v>
      </x:c>
      <x:c r="D5" s="6" t="str">
        <x:v>daniel@example.com</x:v>
      </x:c>
      <x:c r="E5" s="6" t="str">
        <x:v>Data validation</x:v>
      </x:c>
      <x:c r="F5" s="6" t="str">
        <x:v>Normal</x:v>
      </x:c>
      <x:c r="G5" s="6" t="str">
        <x:v>New</x:v>
      </x:c>
      <x:c r="H5" s="6" t="str">
        <x:v>Service Team</x:v>
      </x:c>
      <x:c r="I5" s="6" t="str">
        <x:v>2026-10-06</x:v>
      </x:c>
      <x:c r="J5" s="6" t="str">
        <x:v>2026-10-08</x:v>
      </x:c>
      <x:c r="K5" s="6" t="str"/>
    </x:row>
    <x:row r="6">
      <x:c r="A6" s="6" t="str">
        <x:v>ONB-005</x:v>
      </x:c>
      <x:c r="B6" s="6" t="str">
        <x:v>Client Onboarding Access Follow-up</x:v>
      </x:c>
      <x:c r="C6" s="6" t="str">
        <x:v>SunStream Power</x:v>
      </x:c>
      <x:c r="D6" s="6" t="str">
        <x:v>liam@example.com</x:v>
      </x:c>
      <x:c r="E6" s="6" t="str">
        <x:v>Access request</x:v>
      </x:c>
      <x:c r="F6" s="6" t="str">
        <x:v>High</x:v>
      </x:c>
      <x:c r="G6" s="6" t="str">
        <x:v>In Progress</x:v>
      </x:c>
      <x:c r="H6" s="6" t="str">
        <x:v>Service Team</x:v>
      </x:c>
      <x:c r="I6" s="6" t="str">
        <x:v>2026-10-07</x:v>
      </x:c>
      <x:c r="J6" s="6" t="str">
        <x:v>2026-10-08</x:v>
      </x:c>
      <x:c r="K6" s="6" t="str"/>
    </x:row>
  </x:sheetData>
  <x:pageMargins left="0.7" right="0.7" top="0.75" bottom="0.75" header="0.3" footer="0.3"/>
  <x:tableParts count="1">
    <x:tablePart xmlns:r="http://schemas.openxmlformats.org/officeDocument/2006/relationships" r:id="R64306bbb7ea04a6a"/>
  </x:tableParts>
</x:worksheet>
</file>